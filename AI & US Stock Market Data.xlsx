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gel\Downloads\"/>
    </mc:Choice>
  </mc:AlternateContent>
  <xr:revisionPtr revIDLastSave="0" documentId="8_{28C41078-899F-42E9-87DC-653E375D9206}" xr6:coauthVersionLast="47" xr6:coauthVersionMax="47" xr10:uidLastSave="{00000000-0000-0000-0000-000000000000}"/>
  <bookViews>
    <workbookView xWindow="-108" yWindow="-108" windowWidth="23256" windowHeight="12456" xr2:uid="{EC5042A7-1ECC-46FD-A2F8-95F2A422D106}"/>
  </bookViews>
  <sheets>
    <sheet name="High-Growth US Stocks " sheetId="18" r:id="rId1"/>
    <sheet name="AI Stocks Growth Analysis " sheetId="16" r:id="rId2"/>
    <sheet name="Quarterly Earnings &amp; Performanc" sheetId="17" r:id="rId3"/>
    <sheet name="Forecasting Model" sheetId="19" r:id="rId4"/>
    <sheet name="Daily US Market &amp; Tech News Tra" sheetId="20" r:id="rId5"/>
    <sheet name="US Macro Data &amp; Federal Reserve" sheetId="26" r:id="rId6"/>
    <sheet name="Global Events Impact on US &amp; Na" sheetId="22" r:id="rId7"/>
    <sheet name="AI Spending Impact on Chip Stoc" sheetId="23" r:id="rId8"/>
    <sheet name="Global Instability &amp; Risk Facto" sheetId="30" r:id="rId9"/>
    <sheet name="Market Dependency Analysis" sheetId="25" r:id="rId10"/>
    <sheet name="EPS" sheetId="32" r:id="rId11"/>
    <sheet name="Revenue&amp; Growth" sheetId="3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<sst xmlns="http://schemas.openxmlformats.org/spreadsheetml/2006/main" count="296" uniqueCount="187">
  <si>
    <t>Company</t>
  </si>
  <si>
    <t>NVIDIA</t>
  </si>
  <si>
    <t>AMD</t>
  </si>
  <si>
    <t>Intel</t>
  </si>
  <si>
    <t>Micron Technology</t>
  </si>
  <si>
    <t>SanDisk</t>
  </si>
  <si>
    <t>Revenue2023</t>
  </si>
  <si>
    <t>Revenue2024</t>
  </si>
  <si>
    <t>Revenue2025</t>
  </si>
  <si>
    <t>Revenue2026</t>
  </si>
  <si>
    <t>Revenue &amp; Growth</t>
  </si>
  <si>
    <t>Revenue2022</t>
  </si>
  <si>
    <t>-</t>
  </si>
  <si>
    <t>Basic EPS</t>
  </si>
  <si>
    <t>Diluted EPS</t>
  </si>
  <si>
    <t>NVDA</t>
  </si>
  <si>
    <t>NVIDIA Corporation</t>
  </si>
  <si>
    <t>Advanced Micro Devices</t>
  </si>
  <si>
    <t>INTC</t>
  </si>
  <si>
    <t>Intel Corporation</t>
  </si>
  <si>
    <t>MU</t>
  </si>
  <si>
    <t>5.22T</t>
  </si>
  <si>
    <t>Enterprise Value</t>
  </si>
  <si>
    <t>Trailing P/E</t>
  </si>
  <si>
    <t>Price/Sales</t>
  </si>
  <si>
    <t>Price/Book</t>
  </si>
  <si>
    <t>Ticker</t>
  </si>
  <si>
    <t>Company Name</t>
  </si>
  <si>
    <t>Market Cap</t>
  </si>
  <si>
    <t>Forward P/E</t>
  </si>
  <si>
    <t>PEG Ratio </t>
  </si>
  <si>
    <t>5.15T</t>
  </si>
  <si>
    <r>
      <rPr>
        <b/>
        <sz val="11"/>
        <color theme="1"/>
        <rFont val="Arial Black"/>
        <family val="2"/>
      </rPr>
      <t>High-Growth US Stocks</t>
    </r>
    <r>
      <rPr>
        <sz val="11"/>
        <color theme="1"/>
        <rFont val="Aptos Narrow"/>
        <family val="2"/>
        <scheme val="minor"/>
      </rPr>
      <t xml:space="preserve"> </t>
    </r>
  </si>
  <si>
    <t>762.32B</t>
  </si>
  <si>
    <t>753.85B</t>
  </si>
  <si>
    <t>602.32B</t>
  </si>
  <si>
    <t>614.56B</t>
  </si>
  <si>
    <t>846.93B</t>
  </si>
  <si>
    <t>843.14B</t>
  </si>
  <si>
    <t>Current Year (2027)</t>
  </si>
  <si>
    <t>Next Year (2028)</t>
  </si>
  <si>
    <t>Current Qtr(2026)</t>
  </si>
  <si>
    <t>Next Qtr(2026)</t>
  </si>
  <si>
    <t>Earnings Estimate</t>
  </si>
  <si>
    <t>AI Stocks Growth Analysis - Revenue Estimate</t>
  </si>
  <si>
    <t>Next Earnings Date</t>
  </si>
  <si>
    <t>Most Recent Qtr EPS Estimate</t>
  </si>
  <si>
    <t>Most Recent Qtr EPS Actual</t>
  </si>
  <si>
    <t>Performance</t>
  </si>
  <si>
    <t>Quarterly Earnings &amp; Performanc</t>
  </si>
  <si>
    <t>Aug 26, 2026</t>
  </si>
  <si>
    <t>$1.85</t>
  </si>
  <si>
    <t>$1.95</t>
  </si>
  <si>
    <t>Aug 4, 2026</t>
  </si>
  <si>
    <t>$1.27</t>
  </si>
  <si>
    <t>$1.35</t>
  </si>
  <si>
    <t>Beat (+$0.08)</t>
  </si>
  <si>
    <t>Jul 23, 2026</t>
  </si>
  <si>
    <t>$0.01</t>
  </si>
  <si>
    <t>$0.29</t>
  </si>
  <si>
    <t>Beat (+$0.28)</t>
  </si>
  <si>
    <t>Jun 24, 2026</t>
  </si>
  <si>
    <t>$9.16</t>
  </si>
  <si>
    <t>$12.20</t>
  </si>
  <si>
    <t>Beat (+$3.04)</t>
  </si>
  <si>
    <r>
      <rPr>
        <sz val="8"/>
        <color theme="1"/>
        <rFont val="Aptos Narrow"/>
        <family val="2"/>
        <scheme val="minor"/>
      </rPr>
      <t>Beat (+$0.10</t>
    </r>
    <r>
      <rPr>
        <b/>
        <sz val="8"/>
        <color theme="1"/>
        <rFont val="Aptos Narrow"/>
        <family val="2"/>
        <scheme val="minor"/>
      </rPr>
      <t>)</t>
    </r>
  </si>
  <si>
    <t>Long-Term Growth Rate</t>
  </si>
  <si>
    <t>Analyst Consensus</t>
  </si>
  <si>
    <t>Forecasting Model</t>
  </si>
  <si>
    <t>Strong Growth Driven by AI Infrastructure</t>
  </si>
  <si>
    <t>Competitive Gains in AI &amp; Data Centers</t>
  </si>
  <si>
    <t>Turnaround &amp; Foundry Expansion Focus</t>
  </si>
  <si>
    <t>Memory Boom &amp; High-Bandwidth Memory</t>
  </si>
  <si>
    <t>News Headline</t>
  </si>
  <si>
    <t>Sentiment Score</t>
  </si>
  <si>
    <t>Impact on Stock</t>
  </si>
  <si>
    <t>Source URL / Date</t>
  </si>
  <si>
    <t>Daily US Market &amp; Tech News Tra</t>
  </si>
  <si>
    <t>IREN acquires Nvidia's Blackwell AI systems for a major $1.6 billion investment</t>
  </si>
  <si>
    <t>Positive</t>
  </si>
  <si>
    <t>Bullish</t>
  </si>
  <si>
    <t>Yahoo Finance(May 27, 2026)</t>
  </si>
  <si>
    <t>AMD collaborates with OneQode to deploy Instinct GPUs for AI infrastructure expansion</t>
  </si>
  <si>
    <t>Intel eyes potential government support and a preliminary deal with Apple to boost foundry business</t>
  </si>
  <si>
    <t>Micron soars 26.96% past $1T market cap as UBS triples price target to $1,625 on AI memory demand</t>
  </si>
  <si>
    <t>Economic Indicator</t>
  </si>
  <si>
    <t>Report Name</t>
  </si>
  <si>
    <t>Actual</t>
  </si>
  <si>
    <t>Forecast</t>
  </si>
  <si>
    <t>US Macro Data &amp; Federal Reserve</t>
  </si>
  <si>
    <t>Inflation (PCE)</t>
  </si>
  <si>
    <t>Inflation (CPI)</t>
  </si>
  <si>
    <t>Employment</t>
  </si>
  <si>
    <t>Monetary Policy</t>
  </si>
  <si>
    <t>Core PCE Price Index (MoM) - Apr</t>
  </si>
  <si>
    <t>Consumer Price Index (CPI) YoY</t>
  </si>
  <si>
    <t>Unemployment Rate</t>
  </si>
  <si>
    <t>Fed Interest Rate Decision</t>
  </si>
  <si>
    <t>Pending</t>
  </si>
  <si>
    <t>Asset Class</t>
  </si>
  <si>
    <t>Asset Name</t>
  </si>
  <si>
    <t>Current Price / Value</t>
  </si>
  <si>
    <t>Daily Change (%)</t>
  </si>
  <si>
    <t>Intermarket Impact on Nasdaq</t>
  </si>
  <si>
    <t>Global Events Impact on US &amp; Na</t>
  </si>
  <si>
    <t>Commodity</t>
  </si>
  <si>
    <t>CL=F</t>
  </si>
  <si>
    <t>Crude Oil Futures</t>
  </si>
  <si>
    <t>Inverse</t>
  </si>
  <si>
    <t>Currency</t>
  </si>
  <si>
    <t>DX-Y.NYB</t>
  </si>
  <si>
    <t xml:space="preserve">US Dollar Index </t>
  </si>
  <si>
    <t>Index</t>
  </si>
  <si>
    <t>^IXIC</t>
  </si>
  <si>
    <t>Nasdaq Composite</t>
  </si>
  <si>
    <t>Benchmark</t>
  </si>
  <si>
    <t>Capital Expenditure</t>
  </si>
  <si>
    <t>Reporting Period</t>
  </si>
  <si>
    <t>Impact on Chip Stocks</t>
  </si>
  <si>
    <t>AI Spending Impact on Chip Stoc</t>
  </si>
  <si>
    <t>MSFT</t>
  </si>
  <si>
    <t>Microsoft Corporation</t>
  </si>
  <si>
    <t>TTM</t>
  </si>
  <si>
    <t>Highly Positive</t>
  </si>
  <si>
    <t>GOOG</t>
  </si>
  <si>
    <t>Alphabet Inc. (Google)</t>
  </si>
  <si>
    <t>META</t>
  </si>
  <si>
    <t>Meta Platforms</t>
  </si>
  <si>
    <t>AMZN</t>
  </si>
  <si>
    <t>Amazon.com</t>
  </si>
  <si>
    <t>AAPL</t>
  </si>
  <si>
    <t>Apple Inc</t>
  </si>
  <si>
    <t xml:space="preserve">$97.22B </t>
  </si>
  <si>
    <t xml:space="preserve">$109.92B </t>
  </si>
  <si>
    <t>$75.74B</t>
  </si>
  <si>
    <t>$151.00B</t>
  </si>
  <si>
    <t>$11.004B</t>
  </si>
  <si>
    <t>Global Instability &amp; Risk Facto</t>
  </si>
  <si>
    <t>Risk Factor</t>
  </si>
  <si>
    <t>Current Indicator</t>
  </si>
  <si>
    <t>Live Value</t>
  </si>
  <si>
    <t>Risk Level</t>
  </si>
  <si>
    <t>Impact on AI/Chip Stocks</t>
  </si>
  <si>
    <t>Estimated Drawdown</t>
  </si>
  <si>
    <t>Market Volatility</t>
  </si>
  <si>
    <t>Inflation Shocks</t>
  </si>
  <si>
    <t>Interest Rate Hikes</t>
  </si>
  <si>
    <t>AI Spending Slowdown</t>
  </si>
  <si>
    <t>VIX Index</t>
  </si>
  <si>
    <t>US CPI YoY</t>
  </si>
  <si>
    <t>Fed Funds Rate</t>
  </si>
  <si>
    <t>Big Tech Capex Trends</t>
  </si>
  <si>
    <t>Medium</t>
  </si>
  <si>
    <t>High</t>
  </si>
  <si>
    <t>High inflation delays interest rate cuts, increasing capital costs for tech projects</t>
  </si>
  <si>
    <t>Slight volatility; tech stocks may face short-term pressure.</t>
  </si>
  <si>
    <t>3.5% - 3.75%</t>
  </si>
  <si>
    <t>High borrowing costs persist, pressing corporate tech expansion</t>
  </si>
  <si>
    <t>$650B - $725B</t>
  </si>
  <si>
    <t>Low</t>
  </si>
  <si>
    <t>Massive data center sprint provides high revenue for chipmakers</t>
  </si>
  <si>
    <t>AI/Chip Stock Name</t>
  </si>
  <si>
    <t>Current Market Cap</t>
  </si>
  <si>
    <t>Market Weightage</t>
  </si>
  <si>
    <t>Impact if Earnings Disappoint</t>
  </si>
  <si>
    <t>Impact if Growth Slows</t>
  </si>
  <si>
    <t>Market Dependency Analysis</t>
  </si>
  <si>
    <t>Nvidia (NVDA)</t>
  </si>
  <si>
    <t>Sharp stock crash; will single-handedly drag down the S&amp;P 500 &amp; Nasdaq.</t>
  </si>
  <si>
    <t>Multiple contraction; heavy valuation drop due to lower future multiples</t>
  </si>
  <si>
    <t>Apple (AAPL)</t>
  </si>
  <si>
    <t>Institutional sell-off; massive impact on broad retail investor confidence</t>
  </si>
  <si>
    <t>Slower hardware AI adoption rates; stagnation in tech sector growth</t>
  </si>
  <si>
    <t>Microsoft (MSFT)</t>
  </si>
  <si>
    <t>Cloud AI &amp; Azure revenue disappointments will trigger sector-wide panic</t>
  </si>
  <si>
    <t>Capital expenditure cuts for AI infrastructure, hurting chip suppliers.</t>
  </si>
  <si>
    <t>Retail and data center GPU market share gains will halt instantly</t>
  </si>
  <si>
    <t>Slower adoption of alternative AI chips; corporate margin compression</t>
  </si>
  <si>
    <t>$3.4T</t>
  </si>
  <si>
    <t>$3.3T</t>
  </si>
  <si>
    <t>$3.2T</t>
  </si>
  <si>
    <t>$280B</t>
  </si>
  <si>
    <t>Broadcom (AVGO)</t>
  </si>
  <si>
    <t>$2.0 T</t>
  </si>
  <si>
    <t>Custom AI ASIC chip demand falls; cloud infrastructure spend declines</t>
  </si>
  <si>
    <t>Networking and connectivity hardware orders slow down; lower guidance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</si>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</sst>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,,&quot;B&quot;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rgb="FF232A31"/>
      <name val="Arial"/>
      <family val="2"/>
    </font>
    <font>
      <sz val="10"/>
      <color theme="1"/>
      <name val="Aptos Narrow"/>
      <family val="2"/>
      <scheme val="minor"/>
    </font>
    <font>
      <sz val="10"/>
      <color rgb="FF232A31"/>
      <name val="Arial"/>
      <family val="2"/>
    </font>
    <font>
      <b/>
      <sz val="11"/>
      <color theme="1"/>
      <name val="Arial Black"/>
      <family val="2"/>
    </font>
    <font>
      <b/>
      <sz val="12"/>
      <color rgb="FF232A31"/>
      <name val="Aptos Narrow"/>
      <family val="2"/>
      <scheme val="minor"/>
    </font>
    <font>
      <sz val="9"/>
      <color rgb="FF232A31"/>
      <name val="Arial"/>
      <family val="2"/>
    </font>
    <font>
      <sz val="8"/>
      <color rgb="FF232A31"/>
      <name val="Arial"/>
      <family val="2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theme="1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4" borderId="0" xfId="0" applyFont="1" applyFill="1"/>
    <xf numFmtId="0" fontId="2" fillId="6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8" fillId="5" borderId="1" xfId="0" applyFont="1" applyFill="1" applyBorder="1" applyAlignment="1">
      <alignment horizontal="right" vertical="center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10" fontId="3" fillId="0" borderId="1" xfId="0" applyNumberFormat="1" applyFont="1" applyBorder="1"/>
    <xf numFmtId="0" fontId="10" fillId="0" borderId="1" xfId="0" applyFont="1" applyBorder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right" vertical="center" wrapText="1"/>
    </xf>
    <xf numFmtId="0" fontId="1" fillId="6" borderId="1" xfId="0" applyFont="1" applyFill="1" applyBorder="1"/>
    <xf numFmtId="0" fontId="0" fillId="4" borderId="0" xfId="0" applyFill="1"/>
    <xf numFmtId="10" fontId="0" fillId="0" borderId="1" xfId="0" applyNumberFormat="1" applyBorder="1" applyAlignment="1">
      <alignment horizontal="right"/>
    </xf>
    <xf numFmtId="10" fontId="0" fillId="0" borderId="1" xfId="0" applyNumberFormat="1" applyBorder="1" applyAlignment="1">
      <alignment horizontal="right" vertical="center"/>
    </xf>
    <xf numFmtId="0" fontId="1" fillId="6" borderId="1" xfId="0" applyFont="1" applyFill="1" applyBorder="1" applyAlignment="1">
      <alignment horizontal="right"/>
    </xf>
    <xf numFmtId="9" fontId="0" fillId="0" borderId="1" xfId="0" applyNumberFormat="1" applyBorder="1" applyAlignment="1">
      <alignment horizontal="right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0" fontId="8" fillId="0" borderId="0" xfId="0" applyNumberFormat="1" applyFont="1"/>
    <xf numFmtId="10" fontId="8" fillId="4" borderId="1" xfId="0" applyNumberFormat="1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1" fillId="2" borderId="4" xfId="0" applyFont="1" applyFill="1" applyBorder="1" applyAlignment="1">
      <alignment horizontal="center"/>
    </xf>
    <xf numFmtId="3" fontId="5" fillId="0" borderId="4" xfId="0" applyNumberFormat="1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B442E-CDCD-467B-879D-684BC2A1E3AE}">
  <dimension ref="A1:J6"/>
  <sheetViews>
    <sheetView tabSelected="1" workbookViewId="0">
      <selection activeCell="B3" sqref="B3"/>
    </sheetView>
  </sheetViews>
  <sheetFormatPr defaultRowHeight="14.4" x14ac:dyDescent="0.3"/>
  <cols>
    <col min="1" max="1" width="6.6640625" bestFit="1" customWidth="1"/>
    <col min="2" max="2" width="20.6640625" bestFit="1" customWidth="1"/>
    <col min="3" max="3" width="11.6640625" bestFit="1" customWidth="1"/>
    <col min="4" max="4" width="12.21875" bestFit="1" customWidth="1"/>
    <col min="5" max="5" width="16.33203125" bestFit="1" customWidth="1"/>
    <col min="6" max="6" width="11.33203125" bestFit="1" customWidth="1"/>
    <col min="7" max="7" width="10.33203125" bestFit="1" customWidth="1"/>
    <col min="8" max="8" width="11.5546875" bestFit="1" customWidth="1"/>
    <col min="9" max="9" width="11.109375" bestFit="1" customWidth="1"/>
  </cols>
  <sheetData>
    <row r="1" spans="1:10" ht="17.399999999999999" x14ac:dyDescent="0.45">
      <c r="A1" s="44" t="s">
        <v>32</v>
      </c>
      <c r="B1" s="44"/>
      <c r="C1" s="44"/>
      <c r="D1" s="44"/>
      <c r="E1" s="44"/>
      <c r="F1" s="44"/>
      <c r="G1" s="44"/>
      <c r="H1" s="44"/>
      <c r="I1" s="44"/>
    </row>
    <row r="2" spans="1:10" ht="15.6" x14ac:dyDescent="0.3">
      <c r="A2" s="11" t="s">
        <v>26</v>
      </c>
      <c r="B2" s="12" t="s">
        <v>27</v>
      </c>
      <c r="C2" s="12" t="s">
        <v>28</v>
      </c>
      <c r="D2" s="12" t="s">
        <v>29</v>
      </c>
      <c r="E2" s="13" t="s">
        <v>22</v>
      </c>
      <c r="F2" s="13" t="s">
        <v>23</v>
      </c>
      <c r="G2" s="13" t="s">
        <v>30</v>
      </c>
      <c r="H2" s="13" t="s">
        <v>24</v>
      </c>
      <c r="I2" s="13" t="s">
        <v>25</v>
      </c>
      <c r="J2" s="2"/>
    </row>
    <row r="3" spans="1:10" x14ac:dyDescent="0.3">
      <c r="A3" s="6" t="s">
        <v>15</v>
      </c>
      <c r="B3" s="6" t="s">
        <v>16</v>
      </c>
      <c r="C3" s="14" t="s">
        <v>21</v>
      </c>
      <c r="D3" s="14">
        <v>24.57</v>
      </c>
      <c r="E3" s="14" t="s">
        <v>31</v>
      </c>
      <c r="F3" s="14">
        <v>32.979999999999997</v>
      </c>
      <c r="G3" s="14">
        <v>0.66</v>
      </c>
      <c r="H3" s="14">
        <v>20.78</v>
      </c>
      <c r="I3" s="14">
        <v>26.68</v>
      </c>
    </row>
    <row r="4" spans="1:10" x14ac:dyDescent="0.3">
      <c r="A4" s="6" t="s">
        <v>2</v>
      </c>
      <c r="B4" s="6" t="s">
        <v>17</v>
      </c>
      <c r="C4" s="14" t="s">
        <v>33</v>
      </c>
      <c r="D4" s="14">
        <v>66.67</v>
      </c>
      <c r="E4" s="14" t="s">
        <v>34</v>
      </c>
      <c r="F4" s="14">
        <v>155.84</v>
      </c>
      <c r="G4" s="14">
        <v>1.1200000000000001</v>
      </c>
      <c r="H4" s="14">
        <v>20.5</v>
      </c>
      <c r="I4" s="14">
        <v>11.83</v>
      </c>
    </row>
    <row r="5" spans="1:10" x14ac:dyDescent="0.3">
      <c r="A5" s="6" t="s">
        <v>18</v>
      </c>
      <c r="B5" s="6" t="s">
        <v>19</v>
      </c>
      <c r="C5" s="14" t="s">
        <v>35</v>
      </c>
      <c r="D5" s="14">
        <v>149.25</v>
      </c>
      <c r="E5" s="14" t="s">
        <v>36</v>
      </c>
      <c r="F5" s="14">
        <v>904.17</v>
      </c>
      <c r="G5" s="14">
        <v>0.5</v>
      </c>
      <c r="H5" s="14">
        <v>10.51</v>
      </c>
      <c r="I5" s="14">
        <v>5.41</v>
      </c>
    </row>
    <row r="6" spans="1:10" x14ac:dyDescent="0.3">
      <c r="A6" s="6" t="s">
        <v>20</v>
      </c>
      <c r="B6" s="6" t="s">
        <v>4</v>
      </c>
      <c r="C6" s="14" t="s">
        <v>37</v>
      </c>
      <c r="D6" s="14">
        <v>7.63</v>
      </c>
      <c r="E6" s="14" t="s">
        <v>38</v>
      </c>
      <c r="F6" s="14">
        <v>35.44</v>
      </c>
      <c r="G6" s="14">
        <v>0.26</v>
      </c>
      <c r="H6" s="15">
        <v>14.65</v>
      </c>
      <c r="I6" s="14">
        <v>11.69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87DBD-B0B4-4260-A7F2-DD8E60D00135}">
  <dimension ref="A1:F14"/>
  <sheetViews>
    <sheetView workbookViewId="0">
      <selection activeCell="C12" sqref="C12"/>
    </sheetView>
  </sheetViews>
  <sheetFormatPr defaultRowHeight="14.4" x14ac:dyDescent="0.3"/>
  <cols>
    <col min="2" max="2" width="20.6640625" bestFit="1" customWidth="1"/>
    <col min="3" max="3" width="21.6640625" bestFit="1" customWidth="1"/>
    <col min="4" max="4" width="19.21875" bestFit="1" customWidth="1"/>
    <col min="5" max="5" width="19.33203125" bestFit="1" customWidth="1"/>
    <col min="6" max="6" width="16.21875" bestFit="1" customWidth="1"/>
  </cols>
  <sheetData>
    <row r="1" spans="1:6" ht="17.399999999999999" x14ac:dyDescent="0.45">
      <c r="A1" s="45" t="s">
        <v>44</v>
      </c>
      <c r="B1" s="46"/>
      <c r="C1" s="46"/>
      <c r="D1" s="46"/>
      <c r="E1" s="46"/>
      <c r="F1" s="46"/>
    </row>
    <row r="2" spans="1:6" ht="15.6" x14ac:dyDescent="0.3">
      <c r="A2" s="11" t="s">
        <v>26</v>
      </c>
      <c r="B2" s="12" t="s">
        <v>27</v>
      </c>
      <c r="C2" s="12" t="s">
        <v>41</v>
      </c>
      <c r="D2" s="12" t="s">
        <v>42</v>
      </c>
      <c r="E2" s="12" t="s">
        <v>39</v>
      </c>
      <c r="F2" s="12" t="s">
        <v>40</v>
      </c>
    </row>
    <row r="3" spans="1:6" x14ac:dyDescent="0.3">
      <c r="A3" s="6" t="s">
        <v>15</v>
      </c>
      <c r="B3" s="6" t="s">
        <v>16</v>
      </c>
      <c r="C3" s="34">
        <v>0.96260000000000001</v>
      </c>
      <c r="D3" s="34">
        <v>0.8034</v>
      </c>
      <c r="E3" s="34">
        <v>0.81210000000000004</v>
      </c>
      <c r="F3" s="34">
        <v>0.38679999999999998</v>
      </c>
    </row>
    <row r="4" spans="1:6" x14ac:dyDescent="0.3">
      <c r="A4" s="6" t="s">
        <v>2</v>
      </c>
      <c r="B4" s="6" t="s">
        <v>17</v>
      </c>
      <c r="C4" s="35">
        <v>0.46779999999999999</v>
      </c>
      <c r="D4" s="35">
        <v>0.33779999999999999</v>
      </c>
      <c r="E4" s="35">
        <v>0.42699999999999999</v>
      </c>
      <c r="F4" s="35">
        <v>0.53710000000000002</v>
      </c>
    </row>
    <row r="5" spans="1:6" x14ac:dyDescent="0.3">
      <c r="A5" s="6" t="s">
        <v>18</v>
      </c>
      <c r="B5" s="6" t="s">
        <v>19</v>
      </c>
      <c r="C5" s="35">
        <v>0.1201</v>
      </c>
      <c r="D5" s="35">
        <v>0.1019</v>
      </c>
      <c r="E5" s="35">
        <v>0.1096</v>
      </c>
      <c r="F5" s="35">
        <v>0.10979999999999999</v>
      </c>
    </row>
    <row r="6" spans="1:6" x14ac:dyDescent="0.3">
      <c r="A6" s="6" t="s">
        <v>20</v>
      </c>
      <c r="B6" s="6" t="s">
        <v>4</v>
      </c>
      <c r="C6" s="35">
        <v>2.6118000000000001</v>
      </c>
      <c r="D6" s="35">
        <v>2.4744999999999999</v>
      </c>
      <c r="E6" s="35">
        <v>1.9348000000000001</v>
      </c>
      <c r="F6" s="35">
        <v>0.57479999999999998</v>
      </c>
    </row>
    <row r="9" spans="1:6" ht="17.399999999999999" x14ac:dyDescent="0.45">
      <c r="A9" s="45" t="s">
        <v>43</v>
      </c>
      <c r="B9" s="46"/>
      <c r="C9" s="46"/>
      <c r="D9" s="46"/>
      <c r="E9" s="46"/>
      <c r="F9" s="46"/>
    </row>
    <row r="10" spans="1:6" ht="15.6" x14ac:dyDescent="0.3">
      <c r="A10" s="11" t="s">
        <v>26</v>
      </c>
      <c r="B10" s="12" t="s">
        <v>27</v>
      </c>
      <c r="C10" s="12" t="s">
        <v>41</v>
      </c>
      <c r="D10" s="12" t="s">
        <v>42</v>
      </c>
      <c r="E10" s="12" t="s">
        <v>39</v>
      </c>
      <c r="F10" s="12" t="s">
        <v>40</v>
      </c>
    </row>
    <row r="11" spans="1:6" x14ac:dyDescent="0.3">
      <c r="A11" s="6" t="s">
        <v>15</v>
      </c>
      <c r="B11" s="6" t="s">
        <v>16</v>
      </c>
      <c r="C11" s="36">
        <v>2.09</v>
      </c>
      <c r="D11" s="36">
        <v>2.35</v>
      </c>
      <c r="E11" s="36">
        <v>8.94</v>
      </c>
      <c r="F11" s="36">
        <v>12.65</v>
      </c>
    </row>
    <row r="12" spans="1:6" x14ac:dyDescent="0.3">
      <c r="A12" s="6" t="s">
        <v>2</v>
      </c>
      <c r="B12" s="6" t="s">
        <v>17</v>
      </c>
      <c r="C12" s="36">
        <v>1.61</v>
      </c>
      <c r="D12" s="36">
        <v>1.81</v>
      </c>
      <c r="E12" s="36">
        <v>7.37</v>
      </c>
      <c r="F12" s="36">
        <v>12.96</v>
      </c>
    </row>
    <row r="13" spans="1:6" x14ac:dyDescent="0.3">
      <c r="A13" s="6" t="s">
        <v>18</v>
      </c>
      <c r="B13" s="6" t="s">
        <v>19</v>
      </c>
      <c r="C13" s="36">
        <v>0.21</v>
      </c>
      <c r="D13" s="36">
        <v>0.27</v>
      </c>
      <c r="E13" s="36">
        <v>1.0900000000000001</v>
      </c>
      <c r="F13" s="36">
        <v>1.54</v>
      </c>
    </row>
    <row r="14" spans="1:6" x14ac:dyDescent="0.3">
      <c r="A14" s="6" t="s">
        <v>20</v>
      </c>
      <c r="B14" s="6" t="s">
        <v>4</v>
      </c>
      <c r="C14" s="36">
        <v>19.149999999999999</v>
      </c>
      <c r="D14" s="36">
        <v>22.83</v>
      </c>
      <c r="E14" s="36">
        <v>58.29</v>
      </c>
      <c r="F14" s="36">
        <v>102.74</v>
      </c>
    </row>
  </sheetData>
  <mergeCells count="2">
    <mergeCell ref="A1:F1"/>
    <mergeCell ref="A9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F004C-592E-4920-BA5E-CE9755B878D1}">
  <dimension ref="A1:F6"/>
  <sheetViews>
    <sheetView workbookViewId="0">
      <selection activeCell="F10" sqref="F10"/>
    </sheetView>
  </sheetViews>
  <sheetFormatPr defaultRowHeight="14.4" x14ac:dyDescent="0.3"/>
  <cols>
    <col min="2" max="2" width="20.6640625" bestFit="1" customWidth="1"/>
    <col min="3" max="3" width="18.6640625" bestFit="1" customWidth="1"/>
    <col min="4" max="4" width="28.5546875" bestFit="1" customWidth="1"/>
    <col min="5" max="5" width="26.44140625" bestFit="1" customWidth="1"/>
    <col min="6" max="6" width="13.109375" bestFit="1" customWidth="1"/>
  </cols>
  <sheetData>
    <row r="1" spans="1:6" ht="17.399999999999999" x14ac:dyDescent="0.45">
      <c r="A1" s="47" t="s">
        <v>49</v>
      </c>
      <c r="B1" s="44"/>
      <c r="C1" s="44"/>
      <c r="D1" s="44"/>
      <c r="E1" s="44"/>
      <c r="F1" s="44"/>
    </row>
    <row r="2" spans="1:6" ht="15.6" x14ac:dyDescent="0.3">
      <c r="A2" s="11" t="s">
        <v>26</v>
      </c>
      <c r="B2" s="12" t="s">
        <v>27</v>
      </c>
      <c r="C2" s="12" t="s">
        <v>45</v>
      </c>
      <c r="D2" s="12" t="s">
        <v>46</v>
      </c>
      <c r="E2" s="12" t="s">
        <v>47</v>
      </c>
      <c r="F2" s="12" t="s">
        <v>48</v>
      </c>
    </row>
    <row r="3" spans="1:6" x14ac:dyDescent="0.3">
      <c r="A3" s="6" t="s">
        <v>15</v>
      </c>
      <c r="B3" s="6" t="s">
        <v>16</v>
      </c>
      <c r="C3" s="16" t="s">
        <v>50</v>
      </c>
      <c r="D3" s="17" t="s">
        <v>51</v>
      </c>
      <c r="E3" s="17" t="s">
        <v>52</v>
      </c>
      <c r="F3" s="18" t="s">
        <v>65</v>
      </c>
    </row>
    <row r="4" spans="1:6" x14ac:dyDescent="0.3">
      <c r="A4" s="6" t="s">
        <v>2</v>
      </c>
      <c r="B4" s="6" t="s">
        <v>17</v>
      </c>
      <c r="C4" s="16" t="s">
        <v>53</v>
      </c>
      <c r="D4" s="17" t="s">
        <v>54</v>
      </c>
      <c r="E4" s="17" t="s">
        <v>55</v>
      </c>
      <c r="F4" s="17" t="s">
        <v>56</v>
      </c>
    </row>
    <row r="5" spans="1:6" x14ac:dyDescent="0.3">
      <c r="A5" s="6" t="s">
        <v>18</v>
      </c>
      <c r="B5" s="6" t="s">
        <v>19</v>
      </c>
      <c r="C5" s="16" t="s">
        <v>57</v>
      </c>
      <c r="D5" s="17" t="s">
        <v>58</v>
      </c>
      <c r="E5" s="17" t="s">
        <v>59</v>
      </c>
      <c r="F5" s="17" t="s">
        <v>60</v>
      </c>
    </row>
    <row r="6" spans="1:6" x14ac:dyDescent="0.3">
      <c r="A6" s="6" t="s">
        <v>20</v>
      </c>
      <c r="B6" s="6" t="s">
        <v>4</v>
      </c>
      <c r="C6" s="16" t="s">
        <v>61</v>
      </c>
      <c r="D6" s="17" t="s">
        <v>62</v>
      </c>
      <c r="E6" s="17" t="s">
        <v>63</v>
      </c>
      <c r="F6" s="17" t="s">
        <v>64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90A3B-3F7A-46E3-A430-52C6EF5DC0CE}">
  <dimension ref="A1:D6"/>
  <sheetViews>
    <sheetView workbookViewId="0">
      <selection activeCell="C24" sqref="C24"/>
    </sheetView>
  </sheetViews>
  <sheetFormatPr defaultRowHeight="14.4" x14ac:dyDescent="0.3"/>
  <cols>
    <col min="2" max="2" width="20.6640625" bestFit="1" customWidth="1"/>
    <col min="3" max="3" width="22.77734375" bestFit="1" customWidth="1"/>
    <col min="4" max="4" width="33.77734375" bestFit="1" customWidth="1"/>
  </cols>
  <sheetData>
    <row r="1" spans="1:4" ht="18.600000000000001" x14ac:dyDescent="0.45">
      <c r="A1" s="48" t="s">
        <v>68</v>
      </c>
      <c r="B1" s="44"/>
      <c r="C1" s="44"/>
      <c r="D1" s="44"/>
    </row>
    <row r="2" spans="1:4" ht="15.6" x14ac:dyDescent="0.3">
      <c r="A2" s="11" t="s">
        <v>26</v>
      </c>
      <c r="B2" s="12" t="s">
        <v>27</v>
      </c>
      <c r="C2" s="12" t="s">
        <v>66</v>
      </c>
      <c r="D2" s="12" t="s">
        <v>67</v>
      </c>
    </row>
    <row r="3" spans="1:4" x14ac:dyDescent="0.3">
      <c r="A3" s="6" t="s">
        <v>15</v>
      </c>
      <c r="B3" s="6" t="s">
        <v>16</v>
      </c>
      <c r="C3" s="19">
        <v>0.4153</v>
      </c>
      <c r="D3" s="20" t="s">
        <v>69</v>
      </c>
    </row>
    <row r="4" spans="1:4" x14ac:dyDescent="0.3">
      <c r="A4" s="6" t="s">
        <v>2</v>
      </c>
      <c r="B4" s="6" t="s">
        <v>17</v>
      </c>
      <c r="C4" s="19">
        <v>0.75939999999999996</v>
      </c>
      <c r="D4" s="20" t="s">
        <v>70</v>
      </c>
    </row>
    <row r="5" spans="1:4" x14ac:dyDescent="0.3">
      <c r="A5" s="6" t="s">
        <v>18</v>
      </c>
      <c r="B5" s="6" t="s">
        <v>19</v>
      </c>
      <c r="C5" s="19">
        <v>0.41520000000000001</v>
      </c>
      <c r="D5" s="20" t="s">
        <v>71</v>
      </c>
    </row>
    <row r="6" spans="1:4" x14ac:dyDescent="0.3">
      <c r="A6" s="6" t="s">
        <v>20</v>
      </c>
      <c r="B6" s="6" t="s">
        <v>4</v>
      </c>
      <c r="C6" s="19">
        <v>0.76249999999999996</v>
      </c>
      <c r="D6" s="20" t="s">
        <v>72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3952D-0A63-4293-9531-A2AA47988327}">
  <dimension ref="A1:F7"/>
  <sheetViews>
    <sheetView workbookViewId="0">
      <selection activeCell="B4" sqref="B4"/>
    </sheetView>
  </sheetViews>
  <sheetFormatPr defaultRowHeight="14.4" x14ac:dyDescent="0.3"/>
  <cols>
    <col min="2" max="2" width="20.6640625" bestFit="1" customWidth="1"/>
    <col min="3" max="3" width="15" bestFit="1" customWidth="1"/>
    <col min="4" max="4" width="16.44140625" bestFit="1" customWidth="1"/>
    <col min="5" max="5" width="16" bestFit="1" customWidth="1"/>
    <col min="6" max="6" width="24.6640625" bestFit="1" customWidth="1"/>
  </cols>
  <sheetData>
    <row r="1" spans="1:6" ht="17.399999999999999" x14ac:dyDescent="0.45">
      <c r="A1" s="47" t="s">
        <v>77</v>
      </c>
      <c r="B1" s="44"/>
      <c r="C1" s="44"/>
      <c r="D1" s="44"/>
      <c r="E1" s="44"/>
      <c r="F1" s="44"/>
    </row>
    <row r="2" spans="1:6" ht="15.6" x14ac:dyDescent="0.3">
      <c r="A2" s="11" t="s">
        <v>26</v>
      </c>
      <c r="B2" s="12" t="s">
        <v>27</v>
      </c>
      <c r="C2" s="12" t="s">
        <v>73</v>
      </c>
      <c r="D2" s="12" t="s">
        <v>74</v>
      </c>
      <c r="E2" s="12" t="s">
        <v>75</v>
      </c>
      <c r="F2" s="12" t="s">
        <v>76</v>
      </c>
    </row>
    <row r="3" spans="1:6" ht="86.4" x14ac:dyDescent="0.3">
      <c r="A3" s="4" t="s">
        <v>15</v>
      </c>
      <c r="B3" s="4" t="s">
        <v>16</v>
      </c>
      <c r="C3" s="24" t="s">
        <v>78</v>
      </c>
      <c r="D3" s="4" t="s">
        <v>79</v>
      </c>
      <c r="E3" s="4" t="s">
        <v>80</v>
      </c>
      <c r="F3" s="4" t="s">
        <v>81</v>
      </c>
    </row>
    <row r="4" spans="1:6" ht="100.8" x14ac:dyDescent="0.3">
      <c r="A4" s="4" t="s">
        <v>2</v>
      </c>
      <c r="B4" s="4" t="s">
        <v>17</v>
      </c>
      <c r="C4" s="24" t="s">
        <v>82</v>
      </c>
      <c r="D4" s="4" t="s">
        <v>79</v>
      </c>
      <c r="E4" s="4" t="s">
        <v>80</v>
      </c>
      <c r="F4" s="24" t="s">
        <v>81</v>
      </c>
    </row>
    <row r="5" spans="1:6" ht="115.2" x14ac:dyDescent="0.3">
      <c r="A5" s="4" t="s">
        <v>18</v>
      </c>
      <c r="B5" s="4" t="s">
        <v>19</v>
      </c>
      <c r="C5" s="24" t="s">
        <v>83</v>
      </c>
      <c r="D5" s="4" t="s">
        <v>79</v>
      </c>
      <c r="E5" s="4" t="s">
        <v>80</v>
      </c>
      <c r="F5" s="4" t="s">
        <v>81</v>
      </c>
    </row>
    <row r="6" spans="1:6" ht="100.8" x14ac:dyDescent="0.3">
      <c r="A6" s="4" t="s">
        <v>20</v>
      </c>
      <c r="B6" s="4" t="s">
        <v>4</v>
      </c>
      <c r="C6" s="24" t="s">
        <v>84</v>
      </c>
      <c r="D6" s="4" t="s">
        <v>79</v>
      </c>
      <c r="E6" s="4" t="s">
        <v>80</v>
      </c>
      <c r="F6" s="4" t="s">
        <v>81</v>
      </c>
    </row>
    <row r="7" spans="1:6" x14ac:dyDescent="0.3">
      <c r="F7" s="21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06154-39B7-4661-8F75-18A6A8121494}">
  <dimension ref="A1:E6"/>
  <sheetViews>
    <sheetView workbookViewId="0">
      <selection activeCell="A2" sqref="A2"/>
    </sheetView>
  </sheetViews>
  <sheetFormatPr defaultRowHeight="14.4" x14ac:dyDescent="0.3"/>
  <cols>
    <col min="1" max="1" width="17.33203125" bestFit="1" customWidth="1"/>
    <col min="2" max="2" width="27.5546875" bestFit="1" customWidth="1"/>
    <col min="3" max="3" width="7.33203125" customWidth="1"/>
    <col min="4" max="4" width="8.21875" bestFit="1" customWidth="1"/>
  </cols>
  <sheetData>
    <row r="1" spans="1:5" ht="17.399999999999999" x14ac:dyDescent="0.45">
      <c r="A1" s="47" t="s">
        <v>89</v>
      </c>
      <c r="B1" s="47"/>
      <c r="C1" s="47"/>
      <c r="D1" s="47"/>
      <c r="E1" s="27"/>
    </row>
    <row r="2" spans="1:5" x14ac:dyDescent="0.3">
      <c r="A2" s="26" t="s">
        <v>85</v>
      </c>
      <c r="B2" s="26" t="s">
        <v>86</v>
      </c>
      <c r="C2" s="26" t="s">
        <v>87</v>
      </c>
      <c r="D2" s="26" t="s">
        <v>88</v>
      </c>
    </row>
    <row r="3" spans="1:5" x14ac:dyDescent="0.3">
      <c r="A3" s="4" t="s">
        <v>90</v>
      </c>
      <c r="B3" s="4" t="s">
        <v>94</v>
      </c>
      <c r="C3" s="4" t="s">
        <v>98</v>
      </c>
      <c r="D3" s="28">
        <v>3.0000000000000001E-3</v>
      </c>
    </row>
    <row r="4" spans="1:5" x14ac:dyDescent="0.3">
      <c r="A4" s="4" t="s">
        <v>91</v>
      </c>
      <c r="B4" s="4" t="s">
        <v>95</v>
      </c>
      <c r="C4" s="28">
        <v>3.7999999999999999E-2</v>
      </c>
      <c r="D4" s="28">
        <v>3.6999999999999998E-2</v>
      </c>
    </row>
    <row r="5" spans="1:5" x14ac:dyDescent="0.3">
      <c r="A5" s="4" t="s">
        <v>92</v>
      </c>
      <c r="B5" s="4" t="s">
        <v>96</v>
      </c>
      <c r="C5" s="28">
        <v>4.2999999999999997E-2</v>
      </c>
      <c r="D5" s="28">
        <v>4.2999999999999997E-2</v>
      </c>
    </row>
    <row r="6" spans="1:5" x14ac:dyDescent="0.3">
      <c r="A6" s="4" t="s">
        <v>93</v>
      </c>
      <c r="B6" s="4" t="s">
        <v>97</v>
      </c>
      <c r="C6" s="28">
        <v>5.5E-2</v>
      </c>
      <c r="D6" s="28">
        <v>5.5E-2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BF7BC-DC59-471D-A541-3906B5CA1F28}">
  <dimension ref="A1:F5"/>
  <sheetViews>
    <sheetView workbookViewId="0">
      <selection activeCell="A2" sqref="A2"/>
    </sheetView>
  </sheetViews>
  <sheetFormatPr defaultRowHeight="14.4" x14ac:dyDescent="0.3"/>
  <cols>
    <col min="1" max="1" width="10.21875" bestFit="1" customWidth="1"/>
    <col min="3" max="3" width="17.77734375" bestFit="1" customWidth="1"/>
    <col min="4" max="4" width="18.109375" bestFit="1" customWidth="1"/>
    <col min="5" max="5" width="15" bestFit="1" customWidth="1"/>
    <col min="6" max="6" width="26.77734375" bestFit="1" customWidth="1"/>
  </cols>
  <sheetData>
    <row r="1" spans="1:6" ht="17.399999999999999" x14ac:dyDescent="0.45">
      <c r="A1" s="49" t="s">
        <v>104</v>
      </c>
      <c r="B1" s="50"/>
      <c r="C1" s="50"/>
      <c r="D1" s="50"/>
      <c r="E1" s="50"/>
      <c r="F1" s="50"/>
    </row>
    <row r="2" spans="1:6" x14ac:dyDescent="0.3">
      <c r="A2" s="26" t="s">
        <v>99</v>
      </c>
      <c r="B2" s="26" t="s">
        <v>26</v>
      </c>
      <c r="C2" s="26" t="s">
        <v>100</v>
      </c>
      <c r="D2" s="26" t="s">
        <v>101</v>
      </c>
      <c r="E2" s="26" t="s">
        <v>102</v>
      </c>
      <c r="F2" s="26" t="s">
        <v>103</v>
      </c>
    </row>
    <row r="3" spans="1:6" x14ac:dyDescent="0.3">
      <c r="A3" s="8" t="s">
        <v>105</v>
      </c>
      <c r="B3" s="8" t="s">
        <v>106</v>
      </c>
      <c r="C3" s="8" t="s">
        <v>107</v>
      </c>
      <c r="D3" s="23">
        <v>92.73</v>
      </c>
      <c r="E3" s="29">
        <v>-1.24E-2</v>
      </c>
      <c r="F3" s="23" t="s">
        <v>108</v>
      </c>
    </row>
    <row r="4" spans="1:6" x14ac:dyDescent="0.3">
      <c r="A4" s="8" t="s">
        <v>109</v>
      </c>
      <c r="B4" s="8" t="s">
        <v>110</v>
      </c>
      <c r="C4" s="8" t="s">
        <v>111</v>
      </c>
      <c r="D4" s="23">
        <v>99.11</v>
      </c>
      <c r="E4" s="29">
        <v>-5.9999999999999995E-4</v>
      </c>
      <c r="F4" s="23" t="s">
        <v>108</v>
      </c>
    </row>
    <row r="5" spans="1:6" x14ac:dyDescent="0.3">
      <c r="A5" s="6" t="s">
        <v>112</v>
      </c>
      <c r="B5" s="6" t="s">
        <v>113</v>
      </c>
      <c r="C5" s="6" t="s">
        <v>114</v>
      </c>
      <c r="D5" s="4" t="s">
        <v>12</v>
      </c>
      <c r="E5" s="4" t="s">
        <v>12</v>
      </c>
      <c r="F5" s="4" t="s">
        <v>115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872F-89BA-421A-8AFA-0128E7EECEF8}">
  <dimension ref="A1:E7"/>
  <sheetViews>
    <sheetView workbookViewId="0">
      <selection activeCell="B3" sqref="B3"/>
    </sheetView>
  </sheetViews>
  <sheetFormatPr defaultRowHeight="14.4" x14ac:dyDescent="0.3"/>
  <cols>
    <col min="2" max="2" width="18.6640625" bestFit="1" customWidth="1"/>
    <col min="3" max="3" width="17.6640625" bestFit="1" customWidth="1"/>
    <col min="4" max="4" width="14.88671875" bestFit="1" customWidth="1"/>
    <col min="5" max="5" width="19.77734375" bestFit="1" customWidth="1"/>
  </cols>
  <sheetData>
    <row r="1" spans="1:5" ht="17.399999999999999" x14ac:dyDescent="0.45">
      <c r="A1" s="49" t="s">
        <v>119</v>
      </c>
      <c r="B1" s="50"/>
      <c r="C1" s="50"/>
      <c r="D1" s="50"/>
      <c r="E1" s="50"/>
    </row>
    <row r="2" spans="1:5" x14ac:dyDescent="0.3">
      <c r="A2" s="30" t="s">
        <v>26</v>
      </c>
      <c r="B2" s="30" t="s">
        <v>27</v>
      </c>
      <c r="C2" s="30" t="s">
        <v>116</v>
      </c>
      <c r="D2" s="30" t="s">
        <v>117</v>
      </c>
      <c r="E2" s="30" t="s">
        <v>118</v>
      </c>
    </row>
    <row r="3" spans="1:5" x14ac:dyDescent="0.3">
      <c r="A3" s="6" t="s">
        <v>120</v>
      </c>
      <c r="B3" s="6" t="s">
        <v>121</v>
      </c>
      <c r="C3" s="4" t="s">
        <v>132</v>
      </c>
      <c r="D3" s="4" t="s">
        <v>122</v>
      </c>
      <c r="E3" s="4" t="s">
        <v>123</v>
      </c>
    </row>
    <row r="4" spans="1:5" x14ac:dyDescent="0.3">
      <c r="A4" s="6" t="s">
        <v>124</v>
      </c>
      <c r="B4" s="6" t="s">
        <v>125</v>
      </c>
      <c r="C4" s="4" t="s">
        <v>133</v>
      </c>
      <c r="D4" s="4" t="s">
        <v>122</v>
      </c>
      <c r="E4" s="4" t="s">
        <v>123</v>
      </c>
    </row>
    <row r="5" spans="1:5" x14ac:dyDescent="0.3">
      <c r="A5" s="6" t="s">
        <v>126</v>
      </c>
      <c r="B5" s="6" t="s">
        <v>127</v>
      </c>
      <c r="C5" s="4" t="s">
        <v>134</v>
      </c>
      <c r="D5" s="4" t="s">
        <v>122</v>
      </c>
      <c r="E5" s="4" t="s">
        <v>123</v>
      </c>
    </row>
    <row r="6" spans="1:5" x14ac:dyDescent="0.3">
      <c r="A6" s="6" t="s">
        <v>128</v>
      </c>
      <c r="B6" s="6" t="s">
        <v>129</v>
      </c>
      <c r="C6" s="4" t="s">
        <v>135</v>
      </c>
      <c r="D6" s="4" t="s">
        <v>122</v>
      </c>
      <c r="E6" s="4" t="s">
        <v>123</v>
      </c>
    </row>
    <row r="7" spans="1:5" x14ac:dyDescent="0.3">
      <c r="A7" s="6" t="s">
        <v>130</v>
      </c>
      <c r="B7" s="6" t="s">
        <v>131</v>
      </c>
      <c r="C7" s="4" t="s">
        <v>136</v>
      </c>
      <c r="D7" s="4" t="s">
        <v>122</v>
      </c>
      <c r="E7" s="4" t="s">
        <v>79</v>
      </c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2194-AFEF-4553-9906-E71118C23CA6}">
  <dimension ref="A1:F6"/>
  <sheetViews>
    <sheetView workbookViewId="0">
      <selection activeCell="B3" sqref="B3"/>
    </sheetView>
  </sheetViews>
  <sheetFormatPr defaultRowHeight="14.4" x14ac:dyDescent="0.3"/>
  <cols>
    <col min="1" max="1" width="18.88671875" bestFit="1" customWidth="1"/>
    <col min="2" max="2" width="19" bestFit="1" customWidth="1"/>
    <col min="3" max="3" width="12.5546875" bestFit="1" customWidth="1"/>
    <col min="4" max="4" width="9.21875" bestFit="1" customWidth="1"/>
    <col min="5" max="5" width="22.21875" bestFit="1" customWidth="1"/>
    <col min="6" max="6" width="18.77734375" bestFit="1" customWidth="1"/>
  </cols>
  <sheetData>
    <row r="1" spans="1:6" ht="17.399999999999999" x14ac:dyDescent="0.45">
      <c r="A1" s="51" t="s">
        <v>137</v>
      </c>
      <c r="B1" s="52"/>
      <c r="C1" s="52"/>
      <c r="D1" s="52"/>
      <c r="E1" s="52"/>
      <c r="F1" s="53"/>
    </row>
    <row r="2" spans="1:6" x14ac:dyDescent="0.3">
      <c r="A2" s="32" t="s">
        <v>138</v>
      </c>
      <c r="B2" s="32" t="s">
        <v>139</v>
      </c>
      <c r="C2" s="32" t="s">
        <v>140</v>
      </c>
      <c r="D2" s="32" t="s">
        <v>141</v>
      </c>
      <c r="E2" s="32" t="s">
        <v>142</v>
      </c>
      <c r="F2" s="32" t="s">
        <v>143</v>
      </c>
    </row>
    <row r="3" spans="1:6" ht="43.2" x14ac:dyDescent="0.3">
      <c r="A3" s="23" t="s">
        <v>144</v>
      </c>
      <c r="B3" s="23" t="s">
        <v>148</v>
      </c>
      <c r="C3" s="23">
        <v>16.920000000000002</v>
      </c>
      <c r="D3" s="23" t="s">
        <v>152</v>
      </c>
      <c r="E3" s="25" t="s">
        <v>155</v>
      </c>
      <c r="F3" s="31">
        <v>-7.0000000000000007E-2</v>
      </c>
    </row>
    <row r="4" spans="1:6" ht="57.6" x14ac:dyDescent="0.3">
      <c r="A4" s="23" t="s">
        <v>145</v>
      </c>
      <c r="B4" s="23" t="s">
        <v>149</v>
      </c>
      <c r="C4" s="29">
        <v>3.7999999999999999E-2</v>
      </c>
      <c r="D4" s="23" t="s">
        <v>153</v>
      </c>
      <c r="E4" s="25" t="s">
        <v>154</v>
      </c>
      <c r="F4" s="31">
        <v>-0.12</v>
      </c>
    </row>
    <row r="5" spans="1:6" ht="43.2" x14ac:dyDescent="0.3">
      <c r="A5" s="23" t="s">
        <v>146</v>
      </c>
      <c r="B5" s="23" t="s">
        <v>150</v>
      </c>
      <c r="C5" s="23" t="s">
        <v>156</v>
      </c>
      <c r="D5" s="23" t="s">
        <v>153</v>
      </c>
      <c r="E5" s="25" t="s">
        <v>157</v>
      </c>
      <c r="F5" s="31">
        <v>-0.15</v>
      </c>
    </row>
    <row r="6" spans="1:6" ht="43.2" x14ac:dyDescent="0.3">
      <c r="A6" s="23" t="s">
        <v>147</v>
      </c>
      <c r="B6" s="23" t="s">
        <v>151</v>
      </c>
      <c r="C6" s="23" t="s">
        <v>158</v>
      </c>
      <c r="D6" s="23" t="s">
        <v>159</v>
      </c>
      <c r="E6" s="25" t="s">
        <v>160</v>
      </c>
      <c r="F6" s="31">
        <v>-0.08</v>
      </c>
    </row>
  </sheetData>
  <mergeCells count="1">
    <mergeCell ref="A1:F1"/>
  </mergeCells>
  <conditionalFormatting sqref="D3:D6">
    <cfRule type="containsText" dxfId="2" priority="1" operator="containsText" text="low">
      <formula>NOT(ISERROR(SEARCH("low",D3)))</formula>
    </cfRule>
    <cfRule type="containsText" dxfId="1" priority="2" operator="containsText" text="Medium">
      <formula>NOT(ISERROR(SEARCH("Medium",D3)))</formula>
    </cfRule>
    <cfRule type="containsText" dxfId="0" priority="3" operator="containsText" text="High">
      <formula>NOT(ISERROR(SEARCH("High",D3)))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07DC0-F337-4594-8F56-A6C7D40153C6}">
  <dimension ref="A1:E7"/>
  <sheetViews>
    <sheetView workbookViewId="0">
      <selection activeCell="D11" sqref="D11"/>
    </sheetView>
  </sheetViews>
  <sheetFormatPr defaultRowHeight="14.4" x14ac:dyDescent="0.3"/>
  <cols>
    <col min="1" max="1" width="17.88671875" style="22" bestFit="1" customWidth="1"/>
    <col min="2" max="2" width="17.21875" style="22" bestFit="1" customWidth="1"/>
    <col min="3" max="3" width="15.88671875" style="22" bestFit="1" customWidth="1"/>
    <col min="4" max="4" width="25.6640625" style="22" bestFit="1" customWidth="1"/>
    <col min="5" max="5" width="20.21875" style="22" bestFit="1" customWidth="1"/>
    <col min="6" max="16384" width="8.88671875" style="22"/>
  </cols>
  <sheetData>
    <row r="1" spans="1:5" ht="17.399999999999999" x14ac:dyDescent="0.3">
      <c r="A1" s="54" t="s">
        <v>166</v>
      </c>
      <c r="B1" s="55"/>
      <c r="C1" s="55"/>
      <c r="D1" s="55"/>
      <c r="E1" s="55"/>
    </row>
    <row r="2" spans="1:5" x14ac:dyDescent="0.3">
      <c r="A2" s="32" t="s">
        <v>161</v>
      </c>
      <c r="B2" s="32" t="s">
        <v>162</v>
      </c>
      <c r="C2" s="32" t="s">
        <v>163</v>
      </c>
      <c r="D2" s="32" t="s">
        <v>164</v>
      </c>
      <c r="E2" s="32" t="s">
        <v>165</v>
      </c>
    </row>
    <row r="3" spans="1:5" ht="57.6" x14ac:dyDescent="0.3">
      <c r="A3" s="4" t="s">
        <v>167</v>
      </c>
      <c r="B3" s="4" t="s">
        <v>178</v>
      </c>
      <c r="C3" s="28">
        <v>7.4999999999999997E-2</v>
      </c>
      <c r="D3" s="33" t="s">
        <v>168</v>
      </c>
      <c r="E3" s="33" t="s">
        <v>169</v>
      </c>
    </row>
    <row r="4" spans="1:5" ht="57.6" x14ac:dyDescent="0.3">
      <c r="A4" s="4" t="s">
        <v>170</v>
      </c>
      <c r="B4" s="4" t="s">
        <v>179</v>
      </c>
      <c r="C4" s="28">
        <v>6.5000000000000002E-2</v>
      </c>
      <c r="D4" s="33" t="s">
        <v>171</v>
      </c>
      <c r="E4" s="33" t="s">
        <v>172</v>
      </c>
    </row>
    <row r="5" spans="1:5" ht="57.6" x14ac:dyDescent="0.3">
      <c r="A5" s="4" t="s">
        <v>173</v>
      </c>
      <c r="B5" s="4" t="s">
        <v>180</v>
      </c>
      <c r="C5" s="28">
        <v>4.4999999999999998E-2</v>
      </c>
      <c r="D5" s="33" t="s">
        <v>174</v>
      </c>
      <c r="E5" s="33" t="s">
        <v>175</v>
      </c>
    </row>
    <row r="6" spans="1:5" ht="57.6" x14ac:dyDescent="0.3">
      <c r="A6" s="4" t="s">
        <v>2</v>
      </c>
      <c r="B6" s="4" t="s">
        <v>181</v>
      </c>
      <c r="C6" s="28">
        <v>1.2E-2</v>
      </c>
      <c r="D6" s="33" t="s">
        <v>176</v>
      </c>
      <c r="E6" s="33" t="s">
        <v>177</v>
      </c>
    </row>
    <row r="7" spans="1:5" ht="57.6" x14ac:dyDescent="0.3">
      <c r="A7" s="4" t="s">
        <v>182</v>
      </c>
      <c r="B7" s="4" t="s">
        <v>183</v>
      </c>
      <c r="C7" s="28">
        <v>0.02</v>
      </c>
      <c r="D7" s="33" t="s">
        <v>184</v>
      </c>
      <c r="E7" s="33" t="s">
        <v>185</v>
      </c>
    </row>
  </sheetData>
  <mergeCells count="1"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64CE6-9D61-4AE0-8C51-0E594FA364B8}">
  <dimension ref="A1:G16"/>
  <sheetViews>
    <sheetView workbookViewId="0">
      <selection activeCell="C20" sqref="C20"/>
    </sheetView>
  </sheetViews>
  <sheetFormatPr defaultRowHeight="14.4" x14ac:dyDescent="0.3"/>
  <sheetData>
    <row r="1" spans="1:7" x14ac:dyDescent="0.3">
      <c r="A1" s="56" t="s">
        <v>13</v>
      </c>
      <c r="B1" s="57"/>
      <c r="C1" s="57"/>
      <c r="D1" s="57"/>
      <c r="E1" s="57"/>
      <c r="F1" s="57"/>
      <c r="G1" s="10"/>
    </row>
    <row r="2" spans="1:7" x14ac:dyDescent="0.3">
      <c r="A2" s="1" t="s">
        <v>0</v>
      </c>
      <c r="B2" s="1">
        <v>2022</v>
      </c>
      <c r="C2" s="7">
        <v>2023</v>
      </c>
      <c r="D2" s="7">
        <v>2024</v>
      </c>
      <c r="E2" s="7">
        <v>2025</v>
      </c>
      <c r="F2" s="40">
        <v>2026</v>
      </c>
    </row>
    <row r="3" spans="1:7" x14ac:dyDescent="0.3">
      <c r="A3" s="8" t="s">
        <v>1</v>
      </c>
      <c r="B3" s="37" t="s">
        <v>186</v>
      </c>
      <c r="C3" s="38">
        <v>0.18</v>
      </c>
      <c r="D3" s="38">
        <v>1.21</v>
      </c>
      <c r="E3" s="38">
        <v>2.97</v>
      </c>
      <c r="F3" s="41">
        <v>4.93</v>
      </c>
    </row>
    <row r="4" spans="1:7" x14ac:dyDescent="0.3">
      <c r="A4" s="8" t="s">
        <v>2</v>
      </c>
      <c r="B4" s="38">
        <v>0.85</v>
      </c>
      <c r="C4" s="38">
        <v>0.53</v>
      </c>
      <c r="D4" s="38">
        <v>1.01</v>
      </c>
      <c r="E4" s="38">
        <v>2.67</v>
      </c>
      <c r="F4" s="41" t="s">
        <v>186</v>
      </c>
    </row>
    <row r="5" spans="1:7" x14ac:dyDescent="0.3">
      <c r="A5" s="8" t="s">
        <v>3</v>
      </c>
      <c r="B5" s="38">
        <v>1.95</v>
      </c>
      <c r="C5" s="38">
        <v>0.4</v>
      </c>
      <c r="D5" s="38">
        <v>-4.38</v>
      </c>
      <c r="E5" s="38">
        <v>-0.06</v>
      </c>
      <c r="F5" s="41" t="s">
        <v>186</v>
      </c>
    </row>
    <row r="6" spans="1:7" x14ac:dyDescent="0.3">
      <c r="A6" s="8" t="s">
        <v>4</v>
      </c>
      <c r="B6" s="38">
        <v>7.81</v>
      </c>
      <c r="C6" s="38">
        <v>-5.34</v>
      </c>
      <c r="D6" s="38">
        <v>0.7</v>
      </c>
      <c r="E6" s="38">
        <v>7.65</v>
      </c>
      <c r="F6" s="41" t="s">
        <v>186</v>
      </c>
    </row>
    <row r="7" spans="1:7" x14ac:dyDescent="0.3">
      <c r="A7" s="8" t="s">
        <v>5</v>
      </c>
      <c r="B7" s="37" t="s">
        <v>186</v>
      </c>
      <c r="C7" s="38">
        <v>-14.78</v>
      </c>
      <c r="D7" s="38">
        <v>-4.63</v>
      </c>
      <c r="E7" s="38">
        <v>-11.32</v>
      </c>
      <c r="F7" s="41" t="s">
        <v>186</v>
      </c>
    </row>
    <row r="10" spans="1:7" x14ac:dyDescent="0.3">
      <c r="A10" s="56" t="s">
        <v>14</v>
      </c>
      <c r="B10" s="57"/>
      <c r="C10" s="57"/>
      <c r="D10" s="57"/>
      <c r="E10" s="57"/>
      <c r="F10" s="57"/>
    </row>
    <row r="11" spans="1:7" x14ac:dyDescent="0.3">
      <c r="A11" s="3" t="s">
        <v>0</v>
      </c>
      <c r="B11" s="3">
        <v>2022</v>
      </c>
      <c r="C11" s="5">
        <v>2023</v>
      </c>
      <c r="D11" s="5">
        <v>2024</v>
      </c>
      <c r="E11" s="5">
        <v>2025</v>
      </c>
      <c r="F11" s="5">
        <v>2026</v>
      </c>
    </row>
    <row r="12" spans="1:7" x14ac:dyDescent="0.3">
      <c r="A12" s="6" t="s">
        <v>1</v>
      </c>
      <c r="B12" s="38" t="s">
        <v>186</v>
      </c>
      <c r="C12" s="38">
        <v>0.17</v>
      </c>
      <c r="D12" s="38">
        <v>1.19</v>
      </c>
      <c r="E12" s="38">
        <v>2.94</v>
      </c>
      <c r="F12" s="38">
        <v>4.9000000000000004</v>
      </c>
    </row>
    <row r="13" spans="1:7" x14ac:dyDescent="0.3">
      <c r="A13" s="6" t="s">
        <v>2</v>
      </c>
      <c r="B13" s="38">
        <v>0.84</v>
      </c>
      <c r="C13" s="38">
        <v>0.53</v>
      </c>
      <c r="D13" s="38">
        <v>1</v>
      </c>
      <c r="E13" s="38">
        <v>2.65</v>
      </c>
      <c r="F13" s="39" t="s">
        <v>186</v>
      </c>
    </row>
    <row r="14" spans="1:7" x14ac:dyDescent="0.3">
      <c r="A14" s="6" t="s">
        <v>3</v>
      </c>
      <c r="B14" s="38">
        <v>1.94</v>
      </c>
      <c r="C14" s="38">
        <v>0.4</v>
      </c>
      <c r="D14" s="38">
        <v>-4.38</v>
      </c>
      <c r="E14" s="38">
        <v>-0.06</v>
      </c>
      <c r="F14" s="39" t="s">
        <v>186</v>
      </c>
    </row>
    <row r="15" spans="1:7" x14ac:dyDescent="0.3">
      <c r="A15" s="6" t="s">
        <v>4</v>
      </c>
      <c r="B15" s="38">
        <v>7.75</v>
      </c>
      <c r="C15" s="38">
        <v>-5.34</v>
      </c>
      <c r="D15" s="38">
        <v>0.7</v>
      </c>
      <c r="E15" s="38">
        <v>7.59</v>
      </c>
      <c r="F15" s="39" t="s">
        <v>186</v>
      </c>
    </row>
    <row r="16" spans="1:7" x14ac:dyDescent="0.3">
      <c r="A16" s="6" t="s">
        <v>5</v>
      </c>
      <c r="B16" s="37" t="s">
        <v>186</v>
      </c>
      <c r="C16" s="38">
        <v>-14.78</v>
      </c>
      <c r="D16" s="38">
        <v>-4.63</v>
      </c>
      <c r="E16" s="38">
        <v>-11.32</v>
      </c>
      <c r="F16" s="39" t="s">
        <v>186</v>
      </c>
    </row>
  </sheetData>
  <mergeCells count="2">
    <mergeCell ref="A10:F10"/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27869-E356-4FD4-A40C-46B1CC97EADB}">
  <dimension ref="A1:F7"/>
  <sheetViews>
    <sheetView workbookViewId="0">
      <selection activeCell="C12" sqref="C12"/>
    </sheetView>
  </sheetViews>
  <sheetFormatPr defaultRowHeight="14.4" x14ac:dyDescent="0.3"/>
  <cols>
    <col min="1" max="1" width="16" bestFit="1" customWidth="1"/>
    <col min="2" max="2" width="11.77734375" customWidth="1"/>
    <col min="3" max="6" width="12" bestFit="1" customWidth="1"/>
  </cols>
  <sheetData>
    <row r="1" spans="1:6" x14ac:dyDescent="0.3">
      <c r="A1" s="56" t="s">
        <v>10</v>
      </c>
      <c r="B1" s="57"/>
      <c r="C1" s="57"/>
      <c r="D1" s="57"/>
      <c r="E1" s="57"/>
      <c r="F1" s="57"/>
    </row>
    <row r="2" spans="1:6" ht="28.8" x14ac:dyDescent="0.3">
      <c r="A2" s="3" t="s">
        <v>0</v>
      </c>
      <c r="B2" s="3" t="s">
        <v>11</v>
      </c>
      <c r="C2" s="5" t="s">
        <v>6</v>
      </c>
      <c r="D2" s="5" t="s">
        <v>7</v>
      </c>
      <c r="E2" s="5" t="s">
        <v>8</v>
      </c>
      <c r="F2" s="42" t="s">
        <v>9</v>
      </c>
    </row>
    <row r="3" spans="1:6" x14ac:dyDescent="0.3">
      <c r="A3" s="6" t="s">
        <v>1</v>
      </c>
      <c r="B3" s="9" t="s">
        <v>186</v>
      </c>
      <c r="C3" s="58">
        <v>26974000</v>
      </c>
      <c r="D3" s="58">
        <v>60922000</v>
      </c>
      <c r="E3" s="58">
        <v>130497000</v>
      </c>
      <c r="F3" s="59">
        <v>215938000</v>
      </c>
    </row>
    <row r="4" spans="1:6" x14ac:dyDescent="0.3">
      <c r="A4" s="6" t="s">
        <v>2</v>
      </c>
      <c r="B4" s="58">
        <v>23601000</v>
      </c>
      <c r="C4" s="58">
        <v>22680000</v>
      </c>
      <c r="D4" s="58">
        <v>25785000</v>
      </c>
      <c r="E4" s="58">
        <v>34639000</v>
      </c>
      <c r="F4" s="43" t="s">
        <v>186</v>
      </c>
    </row>
    <row r="5" spans="1:6" x14ac:dyDescent="0.3">
      <c r="A5" s="6" t="s">
        <v>3</v>
      </c>
      <c r="B5" s="58">
        <v>63054000</v>
      </c>
      <c r="C5" s="58">
        <v>54228000</v>
      </c>
      <c r="D5" s="58">
        <v>53101000</v>
      </c>
      <c r="E5" s="58">
        <v>52853000</v>
      </c>
      <c r="F5" s="43" t="s">
        <v>186</v>
      </c>
    </row>
    <row r="6" spans="1:6" x14ac:dyDescent="0.3">
      <c r="A6" s="6" t="s">
        <v>4</v>
      </c>
      <c r="B6" s="58">
        <v>30758000</v>
      </c>
      <c r="C6" s="58">
        <v>15540000</v>
      </c>
      <c r="D6" s="58">
        <v>25111000</v>
      </c>
      <c r="E6" s="58">
        <v>37378000</v>
      </c>
      <c r="F6" s="43" t="s">
        <v>186</v>
      </c>
    </row>
    <row r="7" spans="1:6" x14ac:dyDescent="0.3">
      <c r="A7" s="6" t="s">
        <v>5</v>
      </c>
      <c r="B7" s="9" t="s">
        <v>186</v>
      </c>
      <c r="C7" s="58">
        <v>6086000</v>
      </c>
      <c r="D7" s="58">
        <v>6663000</v>
      </c>
      <c r="E7" s="58">
        <v>7355000</v>
      </c>
      <c r="F7" s="43" t="s">
        <v>186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High-Growth US Stocks </vt:lpstr>
      <vt:lpstr>AI Stocks Growth Analysis </vt:lpstr>
      <vt:lpstr>Quarterly Earnings &amp; Performanc</vt:lpstr>
      <vt:lpstr>Forecasting Model</vt:lpstr>
      <vt:lpstr>Daily US Market &amp; Tech News Tra</vt:lpstr>
      <vt:lpstr>US Macro Data &amp; Federal Reserve</vt:lpstr>
      <vt:lpstr>Global Events Impact on US &amp; Na</vt:lpstr>
      <vt:lpstr>AI Spending Impact on Chip Stoc</vt:lpstr>
      <vt:lpstr>Global Instability &amp; Risk Facto</vt:lpstr>
      <vt:lpstr>Market Dependency Analysis</vt:lpstr>
      <vt:lpstr>EPS</vt:lpstr>
      <vt:lpstr>Revenue&amp; 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ragelagunta venkatadri</dc:creator>
  <cp:lastModifiedBy>ragelagunta venkatadri</cp:lastModifiedBy>
  <dcterms:created xsi:type="dcterms:W3CDTF">2026-05-26T16:39:40Z</dcterms:created>
  <dcterms:modified xsi:type="dcterms:W3CDTF">2026-05-27T12:16:58Z</dcterms:modified>
</cp:coreProperties>
</file>